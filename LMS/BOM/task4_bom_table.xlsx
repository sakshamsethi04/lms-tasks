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7510" tabRatio="500"/>
  </bookViews>
  <sheets>
    <sheet name="BOM" sheetId="1" r:id="rId1"/>
    <sheet name="Read Me" sheetId="2" r:id="rId2"/>
  </sheets>
  <definedNames>
    <definedName name="_xlnm._FilterDatabase" localSheetId="0" hidden="1">BOM!$A$1:$G$23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<sst xmlns="http://schemas.openxmlformats.org/spreadsheetml/2006/main" count="77" uniqueCount="76">
  <si>
    <t>Category</t>
  </si>
  <si>
    <t>Exact model / item to source</t>
  </si>
  <si>
    <t>Quantity</t>
  </si>
  <si>
    <t>Unit price (₹)</t>
  </si>
  <si>
    <t>Line total (₹)</t>
  </si>
  <si>
    <t>Supplier link (Robu.in)</t>
  </si>
  <si>
    <t>Reason / rationale</t>
  </si>
  <si>
    <t>Controller</t>
  </si>
  <si>
    <t>ESP32 DevKit V1 (ESP32-WROOM-32)</t>
  </si>
  <si>
    <t>https://robu.in/product/esp-wroom-32-wifi-bluetooth-networking-smart-component-development-board/</t>
  </si>
  <si>
    <t>Main controller for sensor reading and motor control</t>
  </si>
  <si>
    <t>Line sensor array</t>
  </si>
  <si>
    <t>5-channel IR line tracking sensor array (TCRT5000 type)</t>
  </si>
  <si>
    <t>https://robu.in/product/tcrt5000l-5-channel-tracking-sensor-tracking-module-infrared-sensor/</t>
  </si>
  <si>
    <t>Detects the line and estimates its position</t>
  </si>
  <si>
    <t>Motor driver</t>
  </si>
  <si>
    <t>L298N dual H-bridge motor driver module</t>
  </si>
  <si>
    <t>https://robu.in/product/l298n-2a-based-motor-driver-module-good-quality/</t>
  </si>
  <si>
    <t>Controls motor direction and speed</t>
  </si>
  <si>
    <t>DC geared motor</t>
  </si>
  <si>
    <t xml:space="preserve">N20-12V-200 RPM Micro Metal Gear Motor
</t>
  </si>
  <si>
    <t>https://robu.in/product/n20-12v-200-rpm-micro-metal-gear-motor/</t>
  </si>
  <si>
    <t>One motor per drive wheel</t>
  </si>
  <si>
    <t>Robot chassis</t>
  </si>
  <si>
    <t>2WD robot chassis kit</t>
  </si>
  <si>
    <t>https://robu.in/product/2wd-mini-round-double-deck-smart-robot-car-chassis-diy-kit/</t>
  </si>
  <si>
    <t>Mechanical base for electronics and motors</t>
  </si>
  <si>
    <t>Drive wheels</t>
  </si>
  <si>
    <t>Wheels compatible with selected motors/chassis</t>
  </si>
  <si>
    <t>https://robu.in/product/3pi-miniq-car-wheel-tyre-42mm-n20-dc-gear-motor-wheel/</t>
  </si>
  <si>
    <t>Provide traction and movement</t>
  </si>
  <si>
    <t>Caster / skid</t>
  </si>
  <si>
    <t>caster wheel</t>
  </si>
  <si>
    <t>https://robu.in/product/ball-caster-wheel-big/</t>
  </si>
  <si>
    <t>Supports the non-driven end of the robot</t>
  </si>
  <si>
    <t>Battery</t>
  </si>
  <si>
    <t>3S 11.1 V LiPo battery (capacity and discharge rating to be selected)</t>
  </si>
  <si>
    <t>https://robu.in/product/orange-2200mah-3s-30c60c-lithium-polymer-battery-pack-lipo/</t>
  </si>
  <si>
    <t>Powers motor driver and buck converter</t>
  </si>
  <si>
    <t>Buck converter</t>
  </si>
  <si>
    <t>DC-DC step-down converter to regulated 5 V</t>
  </si>
  <si>
    <t>https://robu.in/product/smartelex-tps565201ddcr-buck-module-3-3v-5v-5a/</t>
  </si>
  <si>
    <t>Provides regulated 5 V to ESP32 VIN/5V</t>
  </si>
  <si>
    <t>Power switch</t>
  </si>
  <si>
    <t>DC-rated on/off switch</t>
  </si>
  <si>
    <t>https://robu.in/product/lbcx2822-lanboo-2822mm-rocker-switch-greendc-9-24v40-4no/</t>
  </si>
  <si>
    <t>Main power control</t>
  </si>
  <si>
    <t>Fuse</t>
  </si>
  <si>
    <t>FUSE 2A</t>
  </si>
  <si>
    <t>https://robu.in/product/0217002-mxp-littelfuse-0217002-mxp-fuse-cartridge-fast-acting-2-a-250-v-5mm-x-20mm-0-2-x-0-79-217/</t>
  </si>
  <si>
    <t>Helps protect against short circuits and overload</t>
  </si>
  <si>
    <t>fuse holder</t>
  </si>
  <si>
    <t>FUSE Holder</t>
  </si>
  <si>
    <t>https://robu.in/product/0ptf0078p-littelfuse-fuse-holder-5x20mm-pitch-22-7-ul94v0-open/</t>
  </si>
  <si>
    <t>Secure battery power connection</t>
  </si>
  <si>
    <t>Power wiring</t>
  </si>
  <si>
    <t>Motor-current-rated wire</t>
  </si>
  <si>
    <t xml:space="preserve">https://robu.in/product/16awg-solid-core-insulated-wire-pvc-red/ </t>
  </si>
  <si>
    <t>Connects battery, driver and converter</t>
  </si>
  <si>
    <t>Jumper wires</t>
  </si>
  <si>
    <t>Male/female jumper wire set</t>
  </si>
  <si>
    <t>https://robu.in/product/10-cm-40-pin-dupont-male-male-male-female-female-female-cable-combo/</t>
  </si>
  <si>
    <t>Connects ESP32, sensors and driver logic</t>
  </si>
  <si>
    <t>Contingency</t>
  </si>
  <si>
    <t>Allowance for price changes / missing small parts</t>
  </si>
  <si>
    <t>Covers unexpected costs</t>
  </si>
  <si>
    <t>Shipping</t>
  </si>
  <si>
    <t>shipping</t>
  </si>
  <si>
    <t>Included in final project budget</t>
  </si>
  <si>
    <t>Component subtotal</t>
  </si>
  <si>
    <t>Grand total (enter shipping/contingency)</t>
  </si>
  <si>
    <t>How to use this BOM template</t>
  </si>
  <si>
    <t>Fill in unit prices and supplier links from Robu.in. Line totals calculate automatically when quantity and unit price are entered.</t>
  </si>
  <si>
    <t>Check whether wheels/caster and mounting hardware are included in the chassis kit to avoid double-counting.</t>
  </si>
  <si>
    <t>Confirm exact motor model, motor stall current, sensor output voltage, battery discharge rating, and charger compatibility before purchasing.</t>
  </si>
  <si>
    <t>ESP32 warning: GPIO11 is normally connected to flash on ESP32-WROOM-32; reassign L298N IN4 to a safe GPIO. GPIO25 is ADC2 on classic ESP32, not ADC1.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</si>
</sst>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&quot;₹&quot;#,##0.00"/>
  </numFmts>
  <fonts count="26">
    <font>
      <sz val="11"/>
      <color rgb="FF000000"/>
      <name val="Calibri"/>
      <charset val="134"/>
    </font>
    <font>
      <b/>
      <sz val="14"/>
      <name val="Calibri"/>
      <charset val="134"/>
    </font>
    <font>
      <b/>
      <sz val="11"/>
      <color rgb="FFFFFFFF"/>
      <name val="Calibri"/>
      <charset val="134"/>
    </font>
    <font>
      <u/>
      <sz val="11"/>
      <color rgb="FF0000FF"/>
      <name val="Calibri"/>
      <charset val="134"/>
    </font>
    <font>
      <u/>
      <sz val="11"/>
      <color rgb="FF800080"/>
      <name val="Calibri"/>
      <charset val="134"/>
    </font>
    <font>
      <b/>
      <sz val="11"/>
      <name val="Calibri"/>
      <charset val="134"/>
    </font>
    <font>
      <sz val="10"/>
      <name val="Arial"/>
      <charset val="134"/>
    </font>
    <font>
      <u/>
      <sz val="11"/>
      <color rgb="FF800080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/>
    <xf numFmtId="177" fontId="6" fillId="0" borderId="0"/>
    <xf numFmtId="9" fontId="6" fillId="0" borderId="0"/>
    <xf numFmtId="178" fontId="6" fillId="0" borderId="0"/>
    <xf numFmtId="179" fontId="6" fillId="0" borderId="0"/>
    <xf numFmtId="0" fontId="3" fillId="0" borderId="0"/>
    <xf numFmtId="0" fontId="7" fillId="0" borderId="0" applyNumberFormat="0" applyFill="0" applyBorder="0" applyAlignment="0" applyProtection="0">
      <alignment vertical="center"/>
    </xf>
    <xf numFmtId="0" fontId="8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1">
    <xf numFmtId="0" fontId="0" fillId="0" borderId="0" xfId="0" applyAlignment="1"/>
    <xf numFmtId="0" fontId="1" fillId="0" borderId="0" xfId="0" applyFont="1" applyAlignment="1"/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vertical="center" wrapText="1"/>
    </xf>
    <xf numFmtId="180" fontId="0" fillId="0" borderId="0" xfId="0" applyNumberFormat="1" applyAlignment="1">
      <alignment vertical="top" wrapText="1"/>
    </xf>
    <xf numFmtId="0" fontId="3" fillId="0" borderId="0" xfId="6"/>
    <xf numFmtId="0" fontId="4" fillId="0" borderId="0" xfId="6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/>
    <xf numFmtId="180" fontId="5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robu.in/product/esp-wroom-32-wifi-bluetooth-networking-smart-component-development-board/" TargetMode="External"/><Relationship Id="rId8" Type="http://schemas.openxmlformats.org/officeDocument/2006/relationships/hyperlink" Target="https://robu.in/product/10-cm-40-pin-dupont-male-male-male-female-female-female-cable-combo/" TargetMode="External"/><Relationship Id="rId7" Type="http://schemas.openxmlformats.org/officeDocument/2006/relationships/hyperlink" Target="https://robu.in/product/16awg-solid-core-insulated-wire-pvc-red/" TargetMode="External"/><Relationship Id="rId6" Type="http://schemas.openxmlformats.org/officeDocument/2006/relationships/hyperlink" Target="https://robu.in/product/lbcx2822-lanboo-2822mm-rocker-switch-greendc-9-24v40-4no/" TargetMode="External"/><Relationship Id="rId5" Type="http://schemas.openxmlformats.org/officeDocument/2006/relationships/hyperlink" Target="https://robu.in/product/smartelex-tps565201ddcr-buck-module-3-3v-5v-5a/" TargetMode="External"/><Relationship Id="rId4" Type="http://schemas.openxmlformats.org/officeDocument/2006/relationships/hyperlink" Target="https://robu.in/product/orange-2200mah-3s-30c60c-lithium-polymer-battery-pack-lipo/" TargetMode="External"/><Relationship Id="rId3" Type="http://schemas.openxmlformats.org/officeDocument/2006/relationships/hyperlink" Target="https://robu.in/product/ball-caster-wheel-big/" TargetMode="External"/><Relationship Id="rId2" Type="http://schemas.openxmlformats.org/officeDocument/2006/relationships/hyperlink" Target="https://robu.in/product/3pi-miniq-car-wheel-tyre-42mm-n20-dc-gear-motor-wheel/" TargetMode="External"/><Relationship Id="rId14" Type="http://schemas.openxmlformats.org/officeDocument/2006/relationships/hyperlink" Target="https://robu.in/product/l298n-2a-based-motor-driver-module-good-quality/" TargetMode="External"/><Relationship Id="rId13" Type="http://schemas.openxmlformats.org/officeDocument/2006/relationships/hyperlink" Target="https://robu.in/product/2wd-mini-round-double-deck-smart-robot-car-chassis-diy-kit/" TargetMode="External"/><Relationship Id="rId12" Type="http://schemas.openxmlformats.org/officeDocument/2006/relationships/hyperlink" Target="https://robu.in/product/0ptf0078p-littelfuse-fuse-holder-5x20mm-pitch-22-7-ul94v0-open/" TargetMode="External"/><Relationship Id="rId11" Type="http://schemas.openxmlformats.org/officeDocument/2006/relationships/hyperlink" Target="https://robu.in/product/0217002-mxp-littelfuse-0217002-mxp-fuse-cartridge-fast-acting-2-a-250-v-5mm-x-20mm-0-2-x-0-79-217/" TargetMode="External"/><Relationship Id="rId10" Type="http://schemas.openxmlformats.org/officeDocument/2006/relationships/hyperlink" Target="https://robu.in/product/tcrt5000l-5-channel-tracking-sensor-tracking-module-infrared-sensor/" TargetMode="External"/><Relationship Id="rId1" Type="http://schemas.openxmlformats.org/officeDocument/2006/relationships/hyperlink" Target="https://robu.in/product/n20-12v-200-rpm-micro-metal-gear-moto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showGridLines="0" tabSelected="1" zoomScale="66" zoomScaleNormal="66" workbookViewId="0">
      <pane ySplit="1" topLeftCell="A12" activePane="bottomLeft" state="frozen"/>
      <selection/>
      <selection pane="bottomLeft" activeCell="F20" sqref="F20"/>
    </sheetView>
  </sheetViews>
  <sheetFormatPr defaultColWidth="8.99090909090909" defaultRowHeight="14.5" customHeight="1" outlineLevelCol="6"/>
  <cols>
    <col min="1" max="1" width="22" customWidth="1"/>
    <col min="2" max="2" width="48" customWidth="1"/>
    <col min="3" max="3" width="11" customWidth="1"/>
    <col min="4" max="5" width="16" customWidth="1"/>
    <col min="6" max="6" width="58" customWidth="1"/>
    <col min="7" max="7" width="42" customWidth="1"/>
    <col min="8" max="8" width="41.9909090909091" customWidth="1"/>
  </cols>
  <sheetData>
    <row r="1" ht="32" customHeight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ht="29" customHeight="1" spans="1:7">
      <c r="A2" s="2" t="s">
        <v>7</v>
      </c>
      <c r="B2" s="2" t="s">
        <v>8</v>
      </c>
      <c r="C2" s="2">
        <v>1</v>
      </c>
      <c r="D2" s="2">
        <v>434</v>
      </c>
      <c r="E2" s="4">
        <f t="shared" ref="E2:E20" si="0">IF(OR(C2="",D2=""),"",C2*D2)</f>
        <v>434</v>
      </c>
      <c r="F2" s="5" t="s">
        <v>9</v>
      </c>
      <c r="G2" s="2" t="s">
        <v>10</v>
      </c>
    </row>
    <row r="3" ht="29" customHeight="1" spans="1:7">
      <c r="A3" s="2" t="s">
        <v>11</v>
      </c>
      <c r="B3" s="2" t="s">
        <v>12</v>
      </c>
      <c r="C3" s="2">
        <v>1</v>
      </c>
      <c r="D3" s="2">
        <v>209</v>
      </c>
      <c r="E3" s="4">
        <f t="shared" si="0"/>
        <v>209</v>
      </c>
      <c r="F3" s="6" t="s">
        <v>13</v>
      </c>
      <c r="G3" s="2" t="s">
        <v>14</v>
      </c>
    </row>
    <row r="4" customHeight="1" spans="1:7">
      <c r="A4" s="2" t="s">
        <v>15</v>
      </c>
      <c r="B4" s="2" t="s">
        <v>16</v>
      </c>
      <c r="C4" s="2">
        <v>1</v>
      </c>
      <c r="D4" s="2">
        <v>129</v>
      </c>
      <c r="E4" s="4">
        <f t="shared" si="0"/>
        <v>129</v>
      </c>
      <c r="F4" s="5" t="s">
        <v>17</v>
      </c>
      <c r="G4" s="2" t="s">
        <v>18</v>
      </c>
    </row>
    <row r="5" ht="43.5" customHeight="1" spans="1:7">
      <c r="A5" s="2" t="s">
        <v>19</v>
      </c>
      <c r="B5" s="2" t="s">
        <v>20</v>
      </c>
      <c r="C5" s="2">
        <v>2</v>
      </c>
      <c r="D5" s="2">
        <v>239</v>
      </c>
      <c r="E5" s="4">
        <f t="shared" si="0"/>
        <v>478</v>
      </c>
      <c r="F5" s="7" t="s">
        <v>21</v>
      </c>
      <c r="G5" s="2" t="s">
        <v>22</v>
      </c>
    </row>
    <row r="6" customHeight="1" spans="1:7">
      <c r="A6" s="2" t="s">
        <v>23</v>
      </c>
      <c r="B6" s="2" t="s">
        <v>24</v>
      </c>
      <c r="C6" s="2">
        <v>1</v>
      </c>
      <c r="D6" s="2">
        <v>489</v>
      </c>
      <c r="E6" s="4">
        <f t="shared" si="0"/>
        <v>489</v>
      </c>
      <c r="F6" s="5" t="s">
        <v>25</v>
      </c>
      <c r="G6" s="2" t="s">
        <v>26</v>
      </c>
    </row>
    <row r="7" ht="29" customHeight="1" spans="1:7">
      <c r="A7" s="2" t="s">
        <v>27</v>
      </c>
      <c r="B7" s="2" t="s">
        <v>28</v>
      </c>
      <c r="C7" s="2">
        <v>2</v>
      </c>
      <c r="D7" s="2">
        <v>39</v>
      </c>
      <c r="E7" s="4">
        <f t="shared" si="0"/>
        <v>78</v>
      </c>
      <c r="F7" s="8" t="s">
        <v>29</v>
      </c>
      <c r="G7" s="2" t="s">
        <v>30</v>
      </c>
    </row>
    <row r="8" ht="29" customHeight="1" spans="1:7">
      <c r="A8" s="2" t="s">
        <v>31</v>
      </c>
      <c r="B8" s="2" t="s">
        <v>32</v>
      </c>
      <c r="C8" s="2">
        <v>1</v>
      </c>
      <c r="D8" s="2">
        <v>94</v>
      </c>
      <c r="E8" s="4">
        <f t="shared" si="0"/>
        <v>94</v>
      </c>
      <c r="F8" s="8" t="s">
        <v>33</v>
      </c>
      <c r="G8" s="2" t="s">
        <v>34</v>
      </c>
    </row>
    <row r="9" ht="43.5" customHeight="1" spans="1:7">
      <c r="A9" s="2" t="s">
        <v>35</v>
      </c>
      <c r="B9" s="2" t="s">
        <v>36</v>
      </c>
      <c r="C9" s="2">
        <v>1</v>
      </c>
      <c r="D9" s="2">
        <v>1619</v>
      </c>
      <c r="E9" s="4">
        <f t="shared" si="0"/>
        <v>1619</v>
      </c>
      <c r="F9" s="7" t="s">
        <v>37</v>
      </c>
      <c r="G9" s="2" t="s">
        <v>38</v>
      </c>
    </row>
    <row r="10" ht="43.5" customHeight="1" spans="1:7">
      <c r="A10" s="2" t="s">
        <v>39</v>
      </c>
      <c r="B10" s="2" t="s">
        <v>40</v>
      </c>
      <c r="C10" s="2">
        <v>1</v>
      </c>
      <c r="D10" s="2">
        <v>396</v>
      </c>
      <c r="E10" s="4">
        <f t="shared" si="0"/>
        <v>396</v>
      </c>
      <c r="F10" s="8" t="s">
        <v>41</v>
      </c>
      <c r="G10" s="2" t="s">
        <v>42</v>
      </c>
    </row>
    <row r="11" ht="43.5" customHeight="1" spans="1:7">
      <c r="A11" s="2" t="s">
        <v>43</v>
      </c>
      <c r="B11" s="2" t="s">
        <v>44</v>
      </c>
      <c r="C11" s="2">
        <v>1</v>
      </c>
      <c r="D11" s="2">
        <v>256</v>
      </c>
      <c r="E11" s="4">
        <f t="shared" si="0"/>
        <v>256</v>
      </c>
      <c r="F11" s="7" t="s">
        <v>45</v>
      </c>
      <c r="G11" s="2" t="s">
        <v>46</v>
      </c>
    </row>
    <row r="12" ht="29" customHeight="1" spans="1:7">
      <c r="A12" s="2" t="s">
        <v>47</v>
      </c>
      <c r="B12" s="2" t="s">
        <v>48</v>
      </c>
      <c r="C12" s="2">
        <v>5</v>
      </c>
      <c r="D12" s="2">
        <v>3.89</v>
      </c>
      <c r="E12" s="4">
        <f t="shared" si="0"/>
        <v>19.45</v>
      </c>
      <c r="F12" s="5" t="s">
        <v>49</v>
      </c>
      <c r="G12" s="2" t="s">
        <v>50</v>
      </c>
    </row>
    <row r="13" customHeight="1" spans="1:7">
      <c r="A13" s="2" t="s">
        <v>51</v>
      </c>
      <c r="B13" s="2" t="s">
        <v>52</v>
      </c>
      <c r="C13" s="2">
        <v>1</v>
      </c>
      <c r="D13" s="2">
        <v>168</v>
      </c>
      <c r="E13" s="4">
        <f t="shared" si="0"/>
        <v>168</v>
      </c>
      <c r="F13" s="6" t="s">
        <v>53</v>
      </c>
      <c r="G13" s="2" t="s">
        <v>54</v>
      </c>
    </row>
    <row r="14" ht="29" customHeight="1" spans="1:7">
      <c r="A14" s="2" t="s">
        <v>55</v>
      </c>
      <c r="B14" s="2" t="s">
        <v>56</v>
      </c>
      <c r="C14" s="2">
        <v>3</v>
      </c>
      <c r="D14" s="2">
        <v>53</v>
      </c>
      <c r="E14" s="4">
        <f t="shared" si="0"/>
        <v>159</v>
      </c>
      <c r="F14" s="8" t="s">
        <v>57</v>
      </c>
      <c r="G14" s="2" t="s">
        <v>58</v>
      </c>
    </row>
    <row r="15" ht="43.5" customHeight="1" spans="1:7">
      <c r="A15" s="2" t="s">
        <v>59</v>
      </c>
      <c r="B15" s="2" t="s">
        <v>60</v>
      </c>
      <c r="C15" s="2">
        <v>1</v>
      </c>
      <c r="D15" s="2">
        <v>145</v>
      </c>
      <c r="E15" s="4">
        <f t="shared" si="0"/>
        <v>145</v>
      </c>
      <c r="F15" s="7" t="s">
        <v>61</v>
      </c>
      <c r="G15" s="2" t="s">
        <v>62</v>
      </c>
    </row>
    <row r="16" customHeight="1" spans="1:7">
      <c r="A16" s="2"/>
      <c r="B16" s="2"/>
      <c r="C16" s="2"/>
      <c r="D16" s="2"/>
      <c r="E16" s="4" t="str">
        <f t="shared" si="0"/>
        <v/>
      </c>
      <c r="F16" s="2"/>
      <c r="G16" s="2"/>
    </row>
    <row r="17" customHeight="1" spans="1:7">
      <c r="A17" s="2"/>
      <c r="B17" s="2"/>
      <c r="C17" s="2"/>
      <c r="D17" s="2"/>
      <c r="E17" s="4" t="str">
        <f t="shared" si="0"/>
        <v/>
      </c>
      <c r="F17" s="2"/>
      <c r="G17" s="2"/>
    </row>
    <row r="18" ht="29" customHeight="1" spans="1:7">
      <c r="A18" s="2"/>
      <c r="B18" s="2"/>
      <c r="C18" s="2"/>
      <c r="D18" s="2"/>
      <c r="E18" s="4" t="str">
        <f t="shared" si="0"/>
        <v/>
      </c>
      <c r="F18" s="2"/>
      <c r="G18" s="2"/>
    </row>
    <row r="19" customHeight="1" spans="1:7">
      <c r="A19" s="2" t="s">
        <v>63</v>
      </c>
      <c r="B19" s="2" t="s">
        <v>64</v>
      </c>
      <c r="C19" s="2">
        <v>1</v>
      </c>
      <c r="D19" s="2">
        <v>3000</v>
      </c>
      <c r="E19" s="4">
        <f t="shared" si="0"/>
        <v>3000</v>
      </c>
      <c r="F19" s="2"/>
      <c r="G19" s="2" t="s">
        <v>65</v>
      </c>
    </row>
    <row r="20" customHeight="1" spans="1:7">
      <c r="A20" s="2" t="s">
        <v>66</v>
      </c>
      <c r="B20" s="2" t="s">
        <v>67</v>
      </c>
      <c r="C20" s="2">
        <v>1</v>
      </c>
      <c r="D20" s="2">
        <v>0</v>
      </c>
      <c r="E20" s="4">
        <f t="shared" si="0"/>
        <v>0</v>
      </c>
      <c r="F20" s="2"/>
      <c r="G20" s="2" t="s">
        <v>68</v>
      </c>
    </row>
    <row r="21" spans="1:7">
      <c r="D21" s="9" t="s">
        <v>69</v>
      </c>
      <c r="E21" s="10">
        <f>SUM(E2:E19)</f>
        <v>7673.45</v>
      </c>
    </row>
    <row r="22" customHeight="1" spans="1:7">
      <c r="D22" s="9" t="s">
        <v>66</v>
      </c>
      <c r="E22" s="9">
        <v>0</v>
      </c>
    </row>
    <row r="23" customHeight="1" spans="1:7">
      <c r="D23" s="9" t="s">
        <v>70</v>
      </c>
      <c r="E23" s="10">
        <f ca="1">SUM(E2:E17)+IF(E23="",0,E23)</f>
        <v>0</v>
      </c>
    </row>
  </sheetData>
  <autoFilter xmlns:etc="http://www.wps.cn/officeDocument/2017/etCustomData" ref="A1:G23" etc:filterBottomFollowUsedRange="0">
    <extLst/>
  </autoFilter>
  <hyperlinks>
    <hyperlink ref="F5" r:id="rId1" display="https://robu.in/product/n20-12v-200-rpm-micro-metal-gear-motor/" tooltip="https://robu.in/product/n20-12v-200-rpm-micro-metal-gear-motor/"/>
    <hyperlink ref="F7" r:id="rId2" display="https://robu.in/product/3pi-miniq-car-wheel-tyre-42mm-n20-dc-gear-motor-wheel/" tooltip="https://robu.in/product/3pi-miniq-car-wheel-tyre-42mm-n20-dc-gear-motor-wheel/"/>
    <hyperlink ref="F8" r:id="rId3" display="https://robu.in/product/ball-caster-wheel-big/" tooltip="https://robu.in/product/ball-caster-wheel-big/"/>
    <hyperlink ref="F9" r:id="rId4" display="https://robu.in/product/orange-2200mah-3s-30c60c-lithium-polymer-battery-pack-lipo/"/>
    <hyperlink ref="F10" r:id="rId5" display="https://robu.in/product/smartelex-tps565201ddcr-buck-module-3-3v-5v-5a/"/>
    <hyperlink ref="F11" r:id="rId6" display="https://robu.in/product/lbcx2822-lanboo-2822mm-rocker-switch-greendc-9-24v40-4no/"/>
    <hyperlink ref="F14" r:id="rId7" display="https://robu.in/product/16awg-solid-core-insulated-wire-pvc-red/ "/>
    <hyperlink ref="F15" r:id="rId8" display="https://robu.in/product/10-cm-40-pin-dupont-male-male-male-female-female-female-cable-combo/"/>
    <hyperlink ref="F2" r:id="rId9" display="https://robu.in/product/esp-wroom-32-wifi-bluetooth-networking-smart-component-development-board/"/>
    <hyperlink ref="F3" r:id="rId10" display="https://robu.in/product/tcrt5000l-5-channel-tracking-sensor-tracking-module-infrared-sensor/"/>
    <hyperlink ref="F12" r:id="rId11" display="https://robu.in/product/0217002-mxp-littelfuse-0217002-mxp-fuse-cartridge-fast-acting-2-a-250-v-5mm-x-20mm-0-2-x-0-79-217/" tooltip="https://robu.in/product/0217002-mxp-littelfuse-0217002-mxp-fuse-cartridge-fast-acting-2-a-250-v-5mm-x-20mm-0-2-x-0-79-217/"/>
    <hyperlink ref="F13" r:id="rId12" display="https://robu.in/product/0ptf0078p-littelfuse-fuse-holder-5x20mm-pitch-22-7-ul94v0-open/"/>
    <hyperlink ref="F6" r:id="rId13" display="https://robu.in/product/2wd-mini-round-double-deck-smart-robot-car-chassis-diy-kit/"/>
    <hyperlink ref="F4" r:id="rId14" display="https://robu.in/product/l298n-2a-based-motor-driver-module-good-quality/"/>
  </hyperlink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A1"/>
    </sheetView>
  </sheetViews>
  <sheetFormatPr defaultColWidth="8.99090909090909" defaultRowHeight="14.5" customHeight="1" outlineLevelRow="5"/>
  <cols>
    <col min="1" max="1" width="119.990909090909" customWidth="1"/>
  </cols>
  <sheetData>
    <row r="1" ht="18.5" customHeight="1" spans="1:1">
      <c r="A1" s="1" t="s">
        <v>71</v>
      </c>
    </row>
    <row r="3" ht="35" customHeight="1" spans="1:1">
      <c r="A3" s="2" t="s">
        <v>72</v>
      </c>
    </row>
    <row r="4" ht="35" customHeight="1" spans="1:1">
      <c r="A4" s="2" t="s">
        <v>73</v>
      </c>
    </row>
    <row r="5" ht="45" customHeight="1" spans="1:1">
      <c r="A5" s="2" t="s">
        <v>74</v>
      </c>
    </row>
    <row r="6" ht="45" customHeight="1" spans="1:1">
      <c r="A6" s="2" t="s">
        <v>75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BOM</vt:lpstr>
      <vt:lpstr>Read 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Saksham Sethi</cp:lastModifiedBy>
  <cp:revision>0</cp:revision>
  <dcterms:created xsi:type="dcterms:W3CDTF">2026-10-22T19:03:00Z</dcterms:created>
  <dcterms:modified xsi:type="dcterms:W3CDTF">2026-10-26T11:05:14Z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15333B3BDC3A41348DCA1F29B015CEFE_13</vt:lpwstr>
  </property>
  <property fmtid="{D5CDD505-2E9C-101B-9397-08002B2CF9AE}" pid="4" name="KSOProductBuildVer">
    <vt:lpwstr>1033-12.1.0.29162</vt:lpwstr>
  </property>
</Properties>
</file>